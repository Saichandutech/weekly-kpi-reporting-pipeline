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&quot;$&quot;#,##0"/>
    <numFmt numFmtId="166" formatCode="&quot;$&quot;#,##0.00"/>
    <numFmt numFmtId="167" formatCode="0.0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55555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FCE7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  <xf numFmtId="3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6" fontId="0" fillId="3" borderId="0" pivotButton="0" quotePrefix="0" xfId="0"/>
    <xf numFmtId="2" fontId="0" fillId="0" borderId="0" pivotButton="0" quotePrefix="0" xfId="0"/>
    <xf numFmtId="2" fontId="0" fillId="3" borderId="0" pivotButton="0" quotePrefix="0" xfId="0"/>
    <xf numFmtId="167" fontId="0" fillId="0" borderId="0" pivotButton="0" quotePrefix="0" xfId="0"/>
    <xf numFmtId="167" fontId="0" fillId="3" borderId="0" pivotButton="0" quotePrefix="0" xfId="0"/>
    <xf numFmtId="167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 connects vs disconnects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'Trends'!$A$2:$A$29</f>
            </numRef>
          </cat>
          <val>
            <numRef>
              <f>'Trends'!$B$2:$B$29</f>
            </numRef>
          </val>
        </ser>
        <ser>
          <idx val="1"/>
          <order val="1"/>
          <tx>
            <strRef>
              <f>'Trends'!C1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'Trends'!$A$2:$A$29</f>
            </numRef>
          </cat>
          <val>
            <numRef>
              <f>'Trends'!$C$2:$C$29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Ending subscribers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'Trends'!$A$2:$A$29</f>
            </numRef>
          </cat>
          <val>
            <numRef>
              <f>'Trends'!$E$2:$E$29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resolved within 24h (%)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'Trends'!$A$2:$A$29</f>
            </numRef>
          </cat>
          <val>
            <numRef>
              <f>'Trends'!$H$2:$H$29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17</row>
      <rowOff>0</rowOff>
    </from>
    <ext cx="64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33</row>
      <rowOff>0</rowOff>
    </from>
    <ext cx="64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23" customWidth="1" min="4" max="4"/>
    <col width="22" customWidth="1" min="5" max="5"/>
    <col width="21" customWidth="1" min="6" max="6"/>
  </cols>
  <sheetData>
    <row r="1">
      <c r="A1" s="1" t="inlineStr">
        <is>
          <t>Weekly KPI Report</t>
        </is>
      </c>
    </row>
    <row r="2">
      <c r="A2" s="2" t="inlineStr">
        <is>
          <t>Week starting 2026-10-05</t>
        </is>
      </c>
    </row>
    <row r="3"/>
    <row r="4">
      <c r="A4" s="3" t="inlineStr">
        <is>
          <t>KPI</t>
        </is>
      </c>
      <c r="B4" s="3" t="inlineStr">
        <is>
          <t>This week</t>
        </is>
      </c>
      <c r="C4" s="3" t="inlineStr">
        <is>
          <t>Last week</t>
        </is>
      </c>
      <c r="D4" s="3" t="inlineStr">
        <is>
          <t>WoW change</t>
        </is>
      </c>
      <c r="E4" s="3" t="inlineStr">
        <is>
          <t>WoW change %</t>
        </is>
      </c>
      <c r="F4" s="3" t="inlineStr">
        <is>
          <t>Prior 4-wk avg</t>
        </is>
      </c>
    </row>
    <row r="5">
      <c r="A5" t="inlineStr">
        <is>
          <t>Net subscriber adds</t>
        </is>
      </c>
      <c r="B5" s="4" t="n">
        <v>336</v>
      </c>
      <c r="C5" s="4" t="n">
        <v>285</v>
      </c>
      <c r="D5" s="5" t="n">
        <v>51</v>
      </c>
      <c r="E5" s="6" t="n">
        <v>17.89473684210526</v>
      </c>
      <c r="F5" s="4" t="n">
        <v>316.5</v>
      </c>
    </row>
    <row r="6">
      <c r="A6" t="inlineStr">
        <is>
          <t>Ending subscribers</t>
        </is>
      </c>
      <c r="B6" s="4" t="n">
        <v>158497</v>
      </c>
      <c r="C6" s="4" t="n">
        <v>158161</v>
      </c>
      <c r="D6" s="5" t="n">
        <v>336</v>
      </c>
      <c r="E6" s="6" t="n">
        <v>0.2124417523915504</v>
      </c>
      <c r="F6" s="4" t="n">
        <v>157703.25</v>
      </c>
    </row>
    <row r="7">
      <c r="A7" t="inlineStr">
        <is>
          <t>Monthly recurring revenue</t>
        </is>
      </c>
      <c r="B7" s="7" t="n">
        <v>13625720</v>
      </c>
      <c r="C7" s="7" t="n">
        <v>13592190</v>
      </c>
      <c r="D7" s="8" t="n">
        <v>33530</v>
      </c>
      <c r="E7" s="6" t="n">
        <v>0.2466857805842914</v>
      </c>
      <c r="F7" s="7" t="n">
        <v>13543906.25</v>
      </c>
    </row>
    <row r="8">
      <c r="A8" t="inlineStr">
        <is>
          <t>ARPU</t>
        </is>
      </c>
      <c r="B8" s="9" t="n">
        <v>85.97</v>
      </c>
      <c r="C8" s="9" t="n">
        <v>85.94</v>
      </c>
      <c r="D8" s="10" t="n">
        <v>0.03000000000000114</v>
      </c>
      <c r="E8" s="6" t="n">
        <v>0.03490807540144419</v>
      </c>
      <c r="F8" s="9" t="n">
        <v>85.88250000000001</v>
      </c>
    </row>
    <row r="9">
      <c r="A9" t="inlineStr">
        <is>
          <t>Weekly churn</t>
        </is>
      </c>
      <c r="B9" s="11" t="n">
        <v>0.383</v>
      </c>
      <c r="C9" s="11" t="n">
        <v>0.392</v>
      </c>
      <c r="D9" s="12" t="n">
        <v>-0.009000000000000008</v>
      </c>
      <c r="E9" s="6" t="n">
        <v>-2.295918367346941</v>
      </c>
      <c r="F9" s="11" t="n">
        <v>0.38875</v>
      </c>
    </row>
    <row r="10">
      <c r="A10" t="inlineStr">
        <is>
          <t>Tickets per 1k subscribers</t>
        </is>
      </c>
      <c r="B10" s="13" t="n">
        <v>11.4</v>
      </c>
      <c r="C10" s="13" t="n">
        <v>11.8</v>
      </c>
      <c r="D10" s="14" t="n">
        <v>-0.4000000000000004</v>
      </c>
      <c r="E10" s="6" t="n">
        <v>-3.389830508474579</v>
      </c>
      <c r="F10" s="13" t="n">
        <v>11.325</v>
      </c>
    </row>
    <row r="11">
      <c r="A11" t="inlineStr">
        <is>
          <t>Avg resolution time (hrs)</t>
        </is>
      </c>
      <c r="B11" s="13" t="n">
        <v>14.7</v>
      </c>
      <c r="C11" s="13" t="n">
        <v>14.4</v>
      </c>
      <c r="D11" s="15" t="n">
        <v>0.2999999999999989</v>
      </c>
      <c r="E11" s="6" t="n">
        <v>2.083333333333326</v>
      </c>
      <c r="F11" s="13" t="n">
        <v>14.3</v>
      </c>
    </row>
    <row r="12">
      <c r="A12" t="inlineStr">
        <is>
          <t>Tickets resolved within 24h</t>
        </is>
      </c>
      <c r="B12" s="13" t="n">
        <v>84.09999999999999</v>
      </c>
      <c r="C12" s="13" t="n">
        <v>85.40000000000001</v>
      </c>
      <c r="D12" s="15" t="n">
        <v>-1.300000000000011</v>
      </c>
      <c r="E12" s="6" t="n">
        <v>-1.522248243559732</v>
      </c>
      <c r="F12" s="13" t="n">
        <v>85.2</v>
      </c>
    </row>
    <row r="13">
      <c r="A13" t="inlineStr">
        <is>
          <t>First-contact resolution</t>
        </is>
      </c>
      <c r="B13" s="13" t="n">
        <v>66.09999999999999</v>
      </c>
      <c r="C13" s="13" t="n">
        <v>68.09999999999999</v>
      </c>
      <c r="D13" s="15" t="n">
        <v>-2</v>
      </c>
      <c r="E13" s="6" t="n">
        <v>-2.936857562408223</v>
      </c>
      <c r="F13" s="13" t="n">
        <v>67.84999999999999</v>
      </c>
    </row>
    <row r="14"/>
    <row r="15"/>
    <row r="16">
      <c r="A16" s="16" t="inlineStr">
        <is>
          <t>Call-outs</t>
        </is>
      </c>
    </row>
    <row r="17">
      <c r="A17" t="inlineStr">
        <is>
          <t>⚠️ First-contact resolution was 66.1%, below its normal 8-week range (avg 68.0%).</t>
        </is>
      </c>
    </row>
    <row r="18">
      <c r="A18" t="inlineStr">
        <is>
          <t>⚠️ South Texas: weekly disconnects are up 27% over the last 4 weeks (150/wk vs 118/wk before).</t>
        </is>
      </c>
    </row>
    <row r="19">
      <c r="A19" t="inlineStr">
        <is>
          <t>⚠️ South Texas: weekly support tickets are up 42% over the last 4 weeks (474/wk vs 334/wk before).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20" customWidth="1" min="5" max="5"/>
    <col width="10" customWidth="1" min="6" max="6"/>
    <col width="10" customWidth="1" min="7" max="7"/>
    <col width="13" customWidth="1" min="8" max="8"/>
    <col width="22" customWidth="1" min="9" max="9"/>
  </cols>
  <sheetData>
    <row r="1">
      <c r="A1" s="3" t="inlineStr">
        <is>
          <t>week_start</t>
        </is>
      </c>
      <c r="B1" s="3" t="inlineStr">
        <is>
          <t>new_connects</t>
        </is>
      </c>
      <c r="C1" s="3" t="inlineStr">
        <is>
          <t>disconnects</t>
        </is>
      </c>
      <c r="D1" s="3" t="inlineStr">
        <is>
          <t>net_adds</t>
        </is>
      </c>
      <c r="E1" s="3" t="inlineStr">
        <is>
          <t>ending_subscribers</t>
        </is>
      </c>
      <c r="F1" s="3" t="inlineStr">
        <is>
          <t>arpu</t>
        </is>
      </c>
      <c r="G1" s="3" t="inlineStr">
        <is>
          <t>tickets</t>
        </is>
      </c>
      <c r="H1" s="3" t="inlineStr">
        <is>
          <t>sla_met_pct</t>
        </is>
      </c>
      <c r="I1" s="3" t="inlineStr">
        <is>
          <t>avg_resolution_hours</t>
        </is>
      </c>
    </row>
    <row r="2">
      <c r="A2" t="inlineStr">
        <is>
          <t>2026-03-30</t>
        </is>
      </c>
      <c r="B2" t="n">
        <v>794</v>
      </c>
      <c r="C2" t="n">
        <v>591</v>
      </c>
      <c r="D2" t="n">
        <v>203</v>
      </c>
      <c r="E2" t="n">
        <v>150203</v>
      </c>
      <c r="F2" t="n">
        <v>85.03</v>
      </c>
      <c r="G2" t="n">
        <v>1663</v>
      </c>
      <c r="H2" t="n">
        <v>84.3</v>
      </c>
      <c r="I2" t="n">
        <v>14.5</v>
      </c>
    </row>
    <row r="3">
      <c r="A3" t="inlineStr">
        <is>
          <t>2026-04-06</t>
        </is>
      </c>
      <c r="B3" t="n">
        <v>809</v>
      </c>
      <c r="C3" t="n">
        <v>573</v>
      </c>
      <c r="D3" t="n">
        <v>236</v>
      </c>
      <c r="E3" t="n">
        <v>150439</v>
      </c>
      <c r="F3" t="n">
        <v>85.06999999999999</v>
      </c>
      <c r="G3" t="n">
        <v>1734</v>
      </c>
      <c r="H3" t="n">
        <v>84.3</v>
      </c>
      <c r="I3" t="n">
        <v>14.3</v>
      </c>
    </row>
    <row r="4">
      <c r="A4" t="inlineStr">
        <is>
          <t>2026-04-13</t>
        </is>
      </c>
      <c r="B4" t="n">
        <v>799</v>
      </c>
      <c r="C4" t="n">
        <v>572</v>
      </c>
      <c r="D4" t="n">
        <v>227</v>
      </c>
      <c r="E4" t="n">
        <v>150666</v>
      </c>
      <c r="F4" t="n">
        <v>85.09999999999999</v>
      </c>
      <c r="G4" t="n">
        <v>1679</v>
      </c>
      <c r="H4" t="n">
        <v>85</v>
      </c>
      <c r="I4" t="n">
        <v>14.3</v>
      </c>
    </row>
    <row r="5">
      <c r="A5" t="inlineStr">
        <is>
          <t>2026-04-20</t>
        </is>
      </c>
      <c r="B5" t="n">
        <v>862</v>
      </c>
      <c r="C5" t="n">
        <v>546</v>
      </c>
      <c r="D5" t="n">
        <v>316</v>
      </c>
      <c r="E5" t="n">
        <v>150982</v>
      </c>
      <c r="F5" t="n">
        <v>85.13</v>
      </c>
      <c r="G5" t="n">
        <v>1614</v>
      </c>
      <c r="H5" t="n">
        <v>85.3</v>
      </c>
      <c r="I5" t="n">
        <v>14.1</v>
      </c>
    </row>
    <row r="6">
      <c r="A6" t="inlineStr">
        <is>
          <t>2026-04-27</t>
        </is>
      </c>
      <c r="B6" t="n">
        <v>852</v>
      </c>
      <c r="C6" t="n">
        <v>579</v>
      </c>
      <c r="D6" t="n">
        <v>273</v>
      </c>
      <c r="E6" t="n">
        <v>151255</v>
      </c>
      <c r="F6" t="n">
        <v>85.15000000000001</v>
      </c>
      <c r="G6" t="n">
        <v>1791</v>
      </c>
      <c r="H6" t="n">
        <v>84.59999999999999</v>
      </c>
      <c r="I6" t="n">
        <v>14.4</v>
      </c>
    </row>
    <row r="7">
      <c r="A7" t="inlineStr">
        <is>
          <t>2026-05-04</t>
        </is>
      </c>
      <c r="B7" t="n">
        <v>839</v>
      </c>
      <c r="C7" t="n">
        <v>572</v>
      </c>
      <c r="D7" t="n">
        <v>267</v>
      </c>
      <c r="E7" t="n">
        <v>151522</v>
      </c>
      <c r="F7" t="n">
        <v>85.17</v>
      </c>
      <c r="G7" t="n">
        <v>1635</v>
      </c>
      <c r="H7" t="n">
        <v>84.90000000000001</v>
      </c>
      <c r="I7" t="n">
        <v>14.1</v>
      </c>
    </row>
    <row r="8">
      <c r="A8" t="inlineStr">
        <is>
          <t>2026-05-11</t>
        </is>
      </c>
      <c r="B8" t="n">
        <v>829</v>
      </c>
      <c r="C8" t="n">
        <v>625</v>
      </c>
      <c r="D8" t="n">
        <v>204</v>
      </c>
      <c r="E8" t="n">
        <v>151726</v>
      </c>
      <c r="F8" t="n">
        <v>85.2</v>
      </c>
      <c r="G8" t="n">
        <v>1639</v>
      </c>
      <c r="H8" t="n">
        <v>84.7</v>
      </c>
      <c r="I8" t="n">
        <v>14.2</v>
      </c>
    </row>
    <row r="9">
      <c r="A9" t="inlineStr">
        <is>
          <t>2026-05-18</t>
        </is>
      </c>
      <c r="B9" t="n">
        <v>847</v>
      </c>
      <c r="C9" t="n">
        <v>546</v>
      </c>
      <c r="D9" t="n">
        <v>301</v>
      </c>
      <c r="E9" t="n">
        <v>152027</v>
      </c>
      <c r="F9" t="n">
        <v>85.23999999999999</v>
      </c>
      <c r="G9" t="n">
        <v>1655</v>
      </c>
      <c r="H9" t="n">
        <v>85.59999999999999</v>
      </c>
      <c r="I9" t="n">
        <v>14</v>
      </c>
    </row>
    <row r="10">
      <c r="A10" t="inlineStr">
        <is>
          <t>2026-05-25</t>
        </is>
      </c>
      <c r="B10" t="n">
        <v>879</v>
      </c>
      <c r="C10" t="n">
        <v>610</v>
      </c>
      <c r="D10" t="n">
        <v>269</v>
      </c>
      <c r="E10" t="n">
        <v>152296</v>
      </c>
      <c r="F10" t="n">
        <v>85.29000000000001</v>
      </c>
      <c r="G10" t="n">
        <v>1637</v>
      </c>
      <c r="H10" t="n">
        <v>84.90000000000001</v>
      </c>
      <c r="I10" t="n">
        <v>14.1</v>
      </c>
    </row>
    <row r="11">
      <c r="A11" t="inlineStr">
        <is>
          <t>2026-06-01</t>
        </is>
      </c>
      <c r="B11" t="n">
        <v>849</v>
      </c>
      <c r="C11" t="n">
        <v>595</v>
      </c>
      <c r="D11" t="n">
        <v>254</v>
      </c>
      <c r="E11" t="n">
        <v>152550</v>
      </c>
      <c r="F11" t="n">
        <v>85.34</v>
      </c>
      <c r="G11" t="n">
        <v>1649</v>
      </c>
      <c r="H11" t="n">
        <v>85.3</v>
      </c>
      <c r="I11" t="n">
        <v>14.1</v>
      </c>
    </row>
    <row r="12">
      <c r="A12" t="inlineStr">
        <is>
          <t>2026-06-08</t>
        </is>
      </c>
      <c r="B12" t="n">
        <v>855</v>
      </c>
      <c r="C12" t="n">
        <v>546</v>
      </c>
      <c r="D12" t="n">
        <v>309</v>
      </c>
      <c r="E12" t="n">
        <v>152859</v>
      </c>
      <c r="F12" t="n">
        <v>85.37</v>
      </c>
      <c r="G12" t="n">
        <v>1733</v>
      </c>
      <c r="H12" t="n">
        <v>85.5</v>
      </c>
      <c r="I12" t="n">
        <v>14.1</v>
      </c>
    </row>
    <row r="13">
      <c r="A13" t="inlineStr">
        <is>
          <t>2026-06-15</t>
        </is>
      </c>
      <c r="B13" t="n">
        <v>830</v>
      </c>
      <c r="C13" t="n">
        <v>601</v>
      </c>
      <c r="D13" t="n">
        <v>229</v>
      </c>
      <c r="E13" t="n">
        <v>153088</v>
      </c>
      <c r="F13" t="n">
        <v>85.40000000000001</v>
      </c>
      <c r="G13" t="n">
        <v>1671</v>
      </c>
      <c r="H13" t="n">
        <v>85</v>
      </c>
      <c r="I13" t="n">
        <v>14.4</v>
      </c>
    </row>
    <row r="14">
      <c r="A14" t="inlineStr">
        <is>
          <t>2026-06-22</t>
        </is>
      </c>
      <c r="B14" t="n">
        <v>848</v>
      </c>
      <c r="C14" t="n">
        <v>607</v>
      </c>
      <c r="D14" t="n">
        <v>241</v>
      </c>
      <c r="E14" t="n">
        <v>153329</v>
      </c>
      <c r="F14" t="n">
        <v>85.45</v>
      </c>
      <c r="G14" t="n">
        <v>1690</v>
      </c>
      <c r="H14" t="n">
        <v>84.09999999999999</v>
      </c>
      <c r="I14" t="n">
        <v>14.4</v>
      </c>
    </row>
    <row r="15">
      <c r="A15" t="inlineStr">
        <is>
          <t>2026-06-29</t>
        </is>
      </c>
      <c r="B15" t="n">
        <v>845</v>
      </c>
      <c r="C15" t="n">
        <v>571</v>
      </c>
      <c r="D15" t="n">
        <v>274</v>
      </c>
      <c r="E15" t="n">
        <v>153603</v>
      </c>
      <c r="F15" t="n">
        <v>85.48999999999999</v>
      </c>
      <c r="G15" t="n">
        <v>1633</v>
      </c>
      <c r="H15" t="n">
        <v>84.2</v>
      </c>
      <c r="I15" t="n">
        <v>14.6</v>
      </c>
    </row>
    <row r="16">
      <c r="A16" t="inlineStr">
        <is>
          <t>2026-07-06</t>
        </is>
      </c>
      <c r="B16" t="n">
        <v>890</v>
      </c>
      <c r="C16" t="n">
        <v>590</v>
      </c>
      <c r="D16" t="n">
        <v>300</v>
      </c>
      <c r="E16" t="n">
        <v>153903</v>
      </c>
      <c r="F16" t="n">
        <v>85.51000000000001</v>
      </c>
      <c r="G16" t="n">
        <v>1732</v>
      </c>
      <c r="H16" t="n">
        <v>86</v>
      </c>
      <c r="I16" t="n">
        <v>14</v>
      </c>
    </row>
    <row r="17">
      <c r="A17" t="inlineStr">
        <is>
          <t>2026-07-13</t>
        </is>
      </c>
      <c r="B17" t="n">
        <v>858</v>
      </c>
      <c r="C17" t="n">
        <v>586</v>
      </c>
      <c r="D17" t="n">
        <v>272</v>
      </c>
      <c r="E17" t="n">
        <v>154175</v>
      </c>
      <c r="F17" t="n">
        <v>85.55</v>
      </c>
      <c r="G17" t="n">
        <v>1688</v>
      </c>
      <c r="H17" t="n">
        <v>86.5</v>
      </c>
      <c r="I17" t="n">
        <v>14</v>
      </c>
    </row>
    <row r="18">
      <c r="A18" t="inlineStr">
        <is>
          <t>2026-07-20</t>
        </is>
      </c>
      <c r="B18" t="n">
        <v>889</v>
      </c>
      <c r="C18" t="n">
        <v>593</v>
      </c>
      <c r="D18" t="n">
        <v>296</v>
      </c>
      <c r="E18" t="n">
        <v>154471</v>
      </c>
      <c r="F18" t="n">
        <v>85.58</v>
      </c>
      <c r="G18" t="n">
        <v>1717</v>
      </c>
      <c r="H18" t="n">
        <v>86.2</v>
      </c>
      <c r="I18" t="n">
        <v>14.2</v>
      </c>
    </row>
    <row r="19">
      <c r="A19" t="inlineStr">
        <is>
          <t>2026-07-27</t>
        </is>
      </c>
      <c r="B19" t="n">
        <v>916</v>
      </c>
      <c r="C19" t="n">
        <v>620</v>
      </c>
      <c r="D19" t="n">
        <v>296</v>
      </c>
      <c r="E19" t="n">
        <v>154767</v>
      </c>
      <c r="F19" t="n">
        <v>85.61</v>
      </c>
      <c r="G19" t="n">
        <v>1712</v>
      </c>
      <c r="H19" t="n">
        <v>84.2</v>
      </c>
      <c r="I19" t="n">
        <v>14.4</v>
      </c>
    </row>
    <row r="20">
      <c r="A20" t="inlineStr">
        <is>
          <t>2026-08-03</t>
        </is>
      </c>
      <c r="B20" t="n">
        <v>866</v>
      </c>
      <c r="C20" t="n">
        <v>634</v>
      </c>
      <c r="D20" t="n">
        <v>232</v>
      </c>
      <c r="E20" t="n">
        <v>154999</v>
      </c>
      <c r="F20" t="n">
        <v>85.64</v>
      </c>
      <c r="G20" t="n">
        <v>1635</v>
      </c>
      <c r="H20" t="n">
        <v>84.8</v>
      </c>
      <c r="I20" t="n">
        <v>14.2</v>
      </c>
    </row>
    <row r="21">
      <c r="A21" t="inlineStr">
        <is>
          <t>2026-08-10</t>
        </is>
      </c>
      <c r="B21" t="n">
        <v>881</v>
      </c>
      <c r="C21" t="n">
        <v>601</v>
      </c>
      <c r="D21" t="n">
        <v>280</v>
      </c>
      <c r="E21" t="n">
        <v>155279</v>
      </c>
      <c r="F21" t="n">
        <v>85.66</v>
      </c>
      <c r="G21" t="n">
        <v>1636</v>
      </c>
      <c r="H21" t="n">
        <v>84.8</v>
      </c>
      <c r="I21" t="n">
        <v>14.5</v>
      </c>
    </row>
    <row r="22">
      <c r="A22" t="inlineStr">
        <is>
          <t>2026-08-17</t>
        </is>
      </c>
      <c r="B22" t="n">
        <v>1175</v>
      </c>
      <c r="C22" t="n">
        <v>574</v>
      </c>
      <c r="D22" t="n">
        <v>601</v>
      </c>
      <c r="E22" t="n">
        <v>155880</v>
      </c>
      <c r="F22" t="n">
        <v>85.7</v>
      </c>
      <c r="G22" t="n">
        <v>1646</v>
      </c>
      <c r="H22" t="n">
        <v>86</v>
      </c>
      <c r="I22" t="n">
        <v>14</v>
      </c>
    </row>
    <row r="23">
      <c r="A23" t="inlineStr">
        <is>
          <t>2026-08-24</t>
        </is>
      </c>
      <c r="B23" t="n">
        <v>1295</v>
      </c>
      <c r="C23" t="n">
        <v>627</v>
      </c>
      <c r="D23" t="n">
        <v>668</v>
      </c>
      <c r="E23" t="n">
        <v>156548</v>
      </c>
      <c r="F23" t="n">
        <v>85.75</v>
      </c>
      <c r="G23" t="n">
        <v>1638</v>
      </c>
      <c r="H23" t="n">
        <v>84.90000000000001</v>
      </c>
      <c r="I23" t="n">
        <v>14.2</v>
      </c>
    </row>
    <row r="24">
      <c r="A24" t="inlineStr">
        <is>
          <t>2026-08-31</t>
        </is>
      </c>
      <c r="B24" t="n">
        <v>910</v>
      </c>
      <c r="C24" t="n">
        <v>563</v>
      </c>
      <c r="D24" t="n">
        <v>347</v>
      </c>
      <c r="E24" t="n">
        <v>156895</v>
      </c>
      <c r="F24" t="n">
        <v>85.79000000000001</v>
      </c>
      <c r="G24" t="n">
        <v>1697</v>
      </c>
      <c r="H24" t="n">
        <v>84.2</v>
      </c>
      <c r="I24" t="n">
        <v>14.3</v>
      </c>
    </row>
    <row r="25">
      <c r="A25" t="inlineStr">
        <is>
          <t>2026-09-07</t>
        </is>
      </c>
      <c r="B25" t="n">
        <v>938</v>
      </c>
      <c r="C25" t="n">
        <v>617</v>
      </c>
      <c r="D25" t="n">
        <v>321</v>
      </c>
      <c r="E25" t="n">
        <v>157216</v>
      </c>
      <c r="F25" t="n">
        <v>85.81</v>
      </c>
      <c r="G25" t="n">
        <v>1667</v>
      </c>
      <c r="H25" t="n">
        <v>84</v>
      </c>
      <c r="I25" t="n">
        <v>14.4</v>
      </c>
    </row>
    <row r="26">
      <c r="A26" t="inlineStr">
        <is>
          <t>2026-09-14</t>
        </is>
      </c>
      <c r="B26" t="n">
        <v>925</v>
      </c>
      <c r="C26" t="n">
        <v>581</v>
      </c>
      <c r="D26" t="n">
        <v>344</v>
      </c>
      <c r="E26" t="n">
        <v>157560</v>
      </c>
      <c r="F26" t="n">
        <v>85.87</v>
      </c>
      <c r="G26" t="n">
        <v>1802</v>
      </c>
      <c r="H26" t="n">
        <v>87.40000000000001</v>
      </c>
      <c r="I26" t="n">
        <v>13.7</v>
      </c>
    </row>
    <row r="27">
      <c r="A27" t="inlineStr">
        <is>
          <t>2026-09-21</t>
        </is>
      </c>
      <c r="B27" t="n">
        <v>947</v>
      </c>
      <c r="C27" t="n">
        <v>631</v>
      </c>
      <c r="D27" t="n">
        <v>316</v>
      </c>
      <c r="E27" t="n">
        <v>157876</v>
      </c>
      <c r="F27" t="n">
        <v>85.91</v>
      </c>
      <c r="G27" t="n">
        <v>1819</v>
      </c>
      <c r="H27" t="n">
        <v>84</v>
      </c>
      <c r="I27" t="n">
        <v>14.7</v>
      </c>
    </row>
    <row r="28">
      <c r="A28" t="inlineStr">
        <is>
          <t>2026-09-28</t>
        </is>
      </c>
      <c r="B28" t="n">
        <v>904</v>
      </c>
      <c r="C28" t="n">
        <v>619</v>
      </c>
      <c r="D28" t="n">
        <v>285</v>
      </c>
      <c r="E28" t="n">
        <v>158161</v>
      </c>
      <c r="F28" t="n">
        <v>85.94</v>
      </c>
      <c r="G28" t="n">
        <v>1863</v>
      </c>
      <c r="H28" t="n">
        <v>85.40000000000001</v>
      </c>
      <c r="I28" t="n">
        <v>14.4</v>
      </c>
    </row>
    <row r="29">
      <c r="A29" t="inlineStr">
        <is>
          <t>2026-10-05</t>
        </is>
      </c>
      <c r="B29" t="n">
        <v>941</v>
      </c>
      <c r="C29" t="n">
        <v>605</v>
      </c>
      <c r="D29" t="n">
        <v>336</v>
      </c>
      <c r="E29" t="n">
        <v>158497</v>
      </c>
      <c r="F29" t="n">
        <v>85.97</v>
      </c>
      <c r="G29" t="n">
        <v>1799</v>
      </c>
      <c r="H29" t="n">
        <v>84.09999999999999</v>
      </c>
      <c r="I29" t="n">
        <v>14.7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0" customWidth="1" min="4" max="4"/>
    <col width="10" customWidth="1" min="5" max="5"/>
    <col width="22" customWidth="1" min="6" max="6"/>
    <col width="13" customWidth="1" min="7" max="7"/>
    <col width="17" customWidth="1" min="8" max="8"/>
    <col width="13" customWidth="1" min="9" max="9"/>
  </cols>
  <sheetData>
    <row r="1">
      <c r="A1" s="3" t="inlineStr">
        <is>
          <t>Region Name</t>
        </is>
      </c>
      <c r="B1" s="3" t="inlineStr">
        <is>
          <t>New Connects</t>
        </is>
      </c>
      <c r="C1" s="3" t="inlineStr">
        <is>
          <t>Disconnects</t>
        </is>
      </c>
      <c r="D1" s="3" t="inlineStr">
        <is>
          <t>Net Adds</t>
        </is>
      </c>
      <c r="E1" s="3" t="inlineStr">
        <is>
          <t>Tickets</t>
        </is>
      </c>
      <c r="F1" s="3" t="inlineStr">
        <is>
          <t>Avg Resolution Hours</t>
        </is>
      </c>
      <c r="G1" s="3" t="inlineStr">
        <is>
          <t>Sla Met Pct</t>
        </is>
      </c>
      <c r="H1" s="3" t="inlineStr">
        <is>
          <t>Disconnects Wow</t>
        </is>
      </c>
      <c r="I1" s="3" t="inlineStr">
        <is>
          <t>Tickets Wow</t>
        </is>
      </c>
    </row>
    <row r="2">
      <c r="A2" t="inlineStr">
        <is>
          <t>South Texas</t>
        </is>
      </c>
      <c r="B2" t="n">
        <v>183</v>
      </c>
      <c r="C2" t="n">
        <v>150</v>
      </c>
      <c r="D2" t="n">
        <v>33</v>
      </c>
      <c r="E2" t="n">
        <v>452</v>
      </c>
      <c r="F2" t="n">
        <v>15.1</v>
      </c>
      <c r="G2" t="n">
        <v>81.90000000000001</v>
      </c>
      <c r="H2" t="n">
        <v>1</v>
      </c>
      <c r="I2" t="n">
        <v>-47</v>
      </c>
    </row>
    <row r="3">
      <c r="A3" t="inlineStr">
        <is>
          <t>Midwest</t>
        </is>
      </c>
      <c r="B3" t="n">
        <v>181</v>
      </c>
      <c r="C3" t="n">
        <v>114</v>
      </c>
      <c r="D3" t="n">
        <v>67</v>
      </c>
      <c r="E3" t="n">
        <v>342</v>
      </c>
      <c r="F3" t="n">
        <v>14.2</v>
      </c>
      <c r="G3" t="n">
        <v>87.09999999999999</v>
      </c>
      <c r="H3" t="n">
        <v>6</v>
      </c>
      <c r="I3" t="n">
        <v>-20</v>
      </c>
    </row>
    <row r="4">
      <c r="A4" t="inlineStr">
        <is>
          <t>North Texas</t>
        </is>
      </c>
      <c r="B4" t="n">
        <v>192</v>
      </c>
      <c r="C4" t="n">
        <v>124</v>
      </c>
      <c r="D4" t="n">
        <v>68</v>
      </c>
      <c r="E4" t="n">
        <v>330</v>
      </c>
      <c r="F4" t="n">
        <v>14.1</v>
      </c>
      <c r="G4" t="n">
        <v>87.40000000000001</v>
      </c>
      <c r="H4" t="n">
        <v>-7</v>
      </c>
      <c r="I4" t="n">
        <v>-15</v>
      </c>
    </row>
    <row r="5">
      <c r="A5" t="inlineStr">
        <is>
          <t>Southeast</t>
        </is>
      </c>
      <c r="B5" t="n">
        <v>191</v>
      </c>
      <c r="C5" t="n">
        <v>114</v>
      </c>
      <c r="D5" t="n">
        <v>77</v>
      </c>
      <c r="E5" t="n">
        <v>319</v>
      </c>
      <c r="F5" t="n">
        <v>15.2</v>
      </c>
      <c r="G5" t="n">
        <v>81.59999999999999</v>
      </c>
      <c r="H5" t="n">
        <v>-11</v>
      </c>
      <c r="I5" t="n">
        <v>-33</v>
      </c>
    </row>
    <row r="6">
      <c r="A6" t="inlineStr">
        <is>
          <t>West</t>
        </is>
      </c>
      <c r="B6" t="n">
        <v>194</v>
      </c>
      <c r="C6" t="n">
        <v>103</v>
      </c>
      <c r="D6" t="n">
        <v>91</v>
      </c>
      <c r="E6" t="n">
        <v>356</v>
      </c>
      <c r="F6" t="n">
        <v>14.7</v>
      </c>
      <c r="G6" t="n">
        <v>83.3</v>
      </c>
      <c r="H6" t="n">
        <v>-3</v>
      </c>
      <c r="I6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6" t="inlineStr">
        <is>
          <t>Warehouse row counts</t>
        </is>
      </c>
    </row>
    <row r="2"/>
    <row r="3">
      <c r="A3" s="3" t="inlineStr">
        <is>
          <t>table</t>
        </is>
      </c>
      <c r="B3" s="3" t="inlineStr">
        <is>
          <t>rows</t>
        </is>
      </c>
    </row>
    <row r="4">
      <c r="A4" t="inlineStr">
        <is>
          <t>dim_region</t>
        </is>
      </c>
      <c r="B4" t="n">
        <v>5</v>
      </c>
    </row>
    <row r="5">
      <c r="A5" t="inlineStr">
        <is>
          <t>dim_date</t>
        </is>
      </c>
      <c r="B5" t="n">
        <v>196</v>
      </c>
    </row>
    <row r="6">
      <c r="A6" t="inlineStr">
        <is>
          <t>fact_orders</t>
        </is>
      </c>
      <c r="B6" t="n">
        <v>53430</v>
      </c>
    </row>
    <row r="7">
      <c r="A7" t="inlineStr">
        <is>
          <t>fact_tickets</t>
        </is>
      </c>
      <c r="B7" t="n">
        <v>47474</v>
      </c>
    </row>
    <row r="8"/>
    <row r="9"/>
    <row r="10">
      <c r="A10" s="16" t="inlineStr">
        <is>
          <t>Recent ETL runs (all data-quality gates must pass for SUCCESS)</t>
        </is>
      </c>
    </row>
    <row r="11">
      <c r="A11" s="3" t="inlineStr">
        <is>
          <t>run_at</t>
        </is>
      </c>
      <c r="B11" s="3" t="inlineStr">
        <is>
          <t>status</t>
        </is>
      </c>
      <c r="C11" s="3" t="inlineStr">
        <is>
          <t>detail</t>
        </is>
      </c>
    </row>
    <row r="12">
      <c r="A12" t="inlineStr">
        <is>
          <t>2026-10-13T02:14:22</t>
        </is>
      </c>
      <c r="B12" t="inlineStr">
        <is>
          <t>SUCCESS</t>
        </is>
      </c>
      <c r="C12" t="inlineStr">
        <is>
          <t>{"dim_region": 5, "dim_date": 196, "fact_orders": 53430, "fact_tickets": 47474}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2026-10-13T07:14:22Z</dcterms:created>
  <dcterms:modified xmlns:dcterms="http://purl.org/dc/terms/" xmlns:xsi="http://www.w3.org/2001/XMLSchema-instance" xsi:type="dcterms:W3CDTF">2026-10-13T07:14:22Z</dcterms:modified>
</cp:coreProperties>
</file>